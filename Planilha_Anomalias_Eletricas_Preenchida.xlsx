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65084788aa28fbf2/Documentos/ProjetosVScode/Python/Projetos com python ^M eletrica/"/>
    </mc:Choice>
  </mc:AlternateContent>
  <xr:revisionPtr revIDLastSave="2" documentId="8_{E90E06B0-6C01-460D-A02D-7B5C354C9D39}" xr6:coauthVersionLast="47" xr6:coauthVersionMax="47" xr10:uidLastSave="{A10FDF37-AFAB-4887-ACE8-9BBB9AF0445D}"/>
  <bookViews>
    <workbookView xWindow="-108" yWindow="-108" windowWidth="23256" windowHeight="12456" xr2:uid="{00000000-000D-0000-FFFF-FFFF00000000}"/>
  </bookViews>
  <sheets>
    <sheet name="Sobrecarga" sheetId="1" r:id="rId1"/>
    <sheet name="Alta Tensao" sheetId="2" r:id="rId2"/>
    <sheet name="Corrente Anormal" sheetId="3" r:id="rId3"/>
  </sheets>
  <calcPr calcId="181029"/>
</workbook>
</file>

<file path=xl/calcChain.xml><?xml version="1.0" encoding="utf-8"?>
<calcChain xmlns="http://schemas.openxmlformats.org/spreadsheetml/2006/main">
  <c r="F2" i="1" l="1"/>
  <c r="G2" i="1" s="1"/>
  <c r="F3" i="1"/>
  <c r="G3" i="1" s="1"/>
  <c r="F4" i="1"/>
  <c r="F5" i="1"/>
  <c r="F6" i="1"/>
  <c r="F7" i="1"/>
  <c r="G7" i="1" s="1"/>
  <c r="F8" i="1"/>
  <c r="F9" i="1"/>
  <c r="G6" i="1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D7" i="3"/>
  <c r="E7" i="3" s="1"/>
  <c r="E6" i="3"/>
  <c r="D6" i="3"/>
  <c r="D5" i="3"/>
  <c r="E5" i="3" s="1"/>
  <c r="E4" i="3"/>
  <c r="D4" i="3"/>
  <c r="D3" i="3"/>
  <c r="E3" i="3" s="1"/>
  <c r="E2" i="3"/>
  <c r="D2" i="3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G9" i="1"/>
  <c r="E9" i="1"/>
  <c r="G8" i="1"/>
  <c r="E8" i="1"/>
  <c r="E7" i="1"/>
  <c r="E6" i="1"/>
  <c r="G5" i="1"/>
  <c r="E5" i="1"/>
  <c r="G4" i="1"/>
  <c r="E4" i="1"/>
  <c r="E3" i="1"/>
  <c r="E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8E3415-D658-4C65-83FD-F90CDE61081F}" keepAlive="1" name="Consulta - Alta Tensao" description="Conexão com a consulta 'Alta Tensao' na pasta de trabalho." type="5" refreshedVersion="8" background="1" saveData="1">
    <dbPr connection="Provider=Microsoft.Mashup.OleDb.1;Data Source=$Workbook$;Location=&quot;Alta Tensao&quot;;Extended Properties=&quot;&quot;" command="SELECT * FROM [Alta Tensao]"/>
  </connection>
  <connection id="2" xr16:uid="{F0C0102B-A600-40F9-9E8C-28BBE63D56D1}" keepAlive="1" name="Consulta - Corrente Anormal" description="Conexão com a consulta 'Corrente Anormal' na pasta de trabalho." type="5" refreshedVersion="8" background="1" saveData="1">
    <dbPr connection="Provider=Microsoft.Mashup.OleDb.1;Data Source=$Workbook$;Location=&quot;Corrente Anormal&quot;;Extended Properties=&quot;&quot;" command="SELECT * FROM [Corrente Anormal]"/>
  </connection>
  <connection id="3" xr16:uid="{591480B1-B1D2-40A7-945E-64E23C3B0745}" keepAlive="1" name="Consulta - Sobrecarga" description="Conexão com a consulta 'Sobrecarga' na pasta de trabalho." type="5" refreshedVersion="8" background="1" saveData="1">
    <dbPr connection="Provider=Microsoft.Mashup.OleDb.1;Data Source=$Workbook$;Location=Sobrecarga;Extended Properties=&quot;&quot;" command="SELECT * FROM [Sobrecarga]"/>
  </connection>
</connections>
</file>

<file path=xl/sharedStrings.xml><?xml version="1.0" encoding="utf-8"?>
<sst xmlns="http://schemas.openxmlformats.org/spreadsheetml/2006/main" count="45" uniqueCount="43">
  <si>
    <t>Equipamento</t>
  </si>
  <si>
    <t>Tensão (V)</t>
  </si>
  <si>
    <t>Corrente Nominal (A)</t>
  </si>
  <si>
    <t>Corrente Medida (A)</t>
  </si>
  <si>
    <t>Potência (W)</t>
  </si>
  <si>
    <t>Percentual de Sobrecarga (%)</t>
  </si>
  <si>
    <t>Status</t>
  </si>
  <si>
    <t>Motor 1</t>
  </si>
  <si>
    <t>Transformador A</t>
  </si>
  <si>
    <t>Painel Principal</t>
  </si>
  <si>
    <t>Bomba Hidráulica</t>
  </si>
  <si>
    <t>Compressor</t>
  </si>
  <si>
    <t>Motor 2</t>
  </si>
  <si>
    <t>Iluminação Industrial</t>
  </si>
  <si>
    <t>Sistema HVAC</t>
  </si>
  <si>
    <t>Preencha tensão, corrente nominal e corrente medida.</t>
  </si>
  <si>
    <t>A planilha calculará automaticamente potência, sobrecarga e status.</t>
  </si>
  <si>
    <t>CRÍTICO = acima de 20% da corrente nominal.</t>
  </si>
  <si>
    <t>Linha/Equipamento</t>
  </si>
  <si>
    <t>Tensão Fase-Fase (kV)</t>
  </si>
  <si>
    <t>Corrente (A)</t>
  </si>
  <si>
    <t>Fator de Potência</t>
  </si>
  <si>
    <t>Potência Trifásica (MW)</t>
  </si>
  <si>
    <t>Linha LT-01</t>
  </si>
  <si>
    <t>Subestação Norte</t>
  </si>
  <si>
    <t>Transformador TR-02</t>
  </si>
  <si>
    <t>Barramento Principal</t>
  </si>
  <si>
    <t>Linha Industrial</t>
  </si>
  <si>
    <t>Gerador 01</t>
  </si>
  <si>
    <t>Use esta aba para sistemas trifásicos de média/alta tensão.</t>
  </si>
  <si>
    <t>Potência calculada automaticamente em MW.</t>
  </si>
  <si>
    <t>Circuito</t>
  </si>
  <si>
    <t>Corrente Esperada (A)</t>
  </si>
  <si>
    <t>Desvio (%)</t>
  </si>
  <si>
    <t>Diagnóstico</t>
  </si>
  <si>
    <t>Circuito A</t>
  </si>
  <si>
    <t>Circuito B</t>
  </si>
  <si>
    <t>Circuito C</t>
  </si>
  <si>
    <t>Circuito D</t>
  </si>
  <si>
    <t>Circuito E</t>
  </si>
  <si>
    <t>Circuito F</t>
  </si>
  <si>
    <t>Monitore desvios de corrente para identificar falhas.</t>
  </si>
  <si>
    <t>Valores muito acima do esperado podem indicar curto, fuga ou sobrecarga.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</si>
</sst>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38761D"/>
        <bgColor rgb="FF38761D"/>
      </patternFill>
    </fill>
    <fill>
      <patternFill patternType="solid">
        <fgColor rgb="FF990000"/>
        <bgColor rgb="FF99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9" fontId="0" fillId="0" borderId="0" xfId="1" applyFont="1"/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selection activeCell="F2" sqref="F2"/>
    </sheetView>
  </sheetViews>
  <sheetFormatPr defaultRowHeight="14.4" x14ac:dyDescent="0.3"/>
  <cols>
    <col min="1" max="7" width="28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327</v>
      </c>
      <c r="C2">
        <v>83</v>
      </c>
      <c r="D2">
        <v>79.739999999999995</v>
      </c>
      <c r="E2">
        <f t="shared" ref="E2:E9" si="0">B2*D2</f>
        <v>26074.98</v>
      </c>
      <c r="F2">
        <f t="shared" ref="F2:F9" si="1">((D2-C2)/C2)*100</f>
        <v>-3.9277108433735006</v>
      </c>
      <c r="G2" t="str">
        <f t="shared" ref="G2:G9" si="2">IF(F2&gt;20,"CRÍTICO",IF(F2&gt;0,"ATENÇÃO","NORMAL"))</f>
        <v>NORMAL</v>
      </c>
    </row>
    <row r="3" spans="1:7" x14ac:dyDescent="0.3">
      <c r="A3" t="s">
        <v>8</v>
      </c>
      <c r="B3">
        <v>370</v>
      </c>
      <c r="C3">
        <v>23</v>
      </c>
      <c r="D3">
        <v>23.38</v>
      </c>
      <c r="E3">
        <f t="shared" si="0"/>
        <v>8650.6</v>
      </c>
      <c r="F3">
        <f t="shared" si="1"/>
        <v>1.6521739130434741</v>
      </c>
      <c r="G3" t="str">
        <f t="shared" si="2"/>
        <v>ATENÇÃO</v>
      </c>
    </row>
    <row r="4" spans="1:7" x14ac:dyDescent="0.3">
      <c r="A4" t="s">
        <v>9</v>
      </c>
      <c r="B4">
        <v>341</v>
      </c>
      <c r="C4">
        <v>93</v>
      </c>
      <c r="D4">
        <v>107.43</v>
      </c>
      <c r="E4">
        <f t="shared" si="0"/>
        <v>36633.630000000005</v>
      </c>
      <c r="F4">
        <f t="shared" si="1"/>
        <v>15.516129032258071</v>
      </c>
      <c r="G4" t="str">
        <f t="shared" si="2"/>
        <v>ATENÇÃO</v>
      </c>
    </row>
    <row r="5" spans="1:7" x14ac:dyDescent="0.3">
      <c r="A5" t="s">
        <v>10</v>
      </c>
      <c r="B5">
        <v>302</v>
      </c>
      <c r="C5">
        <v>94</v>
      </c>
      <c r="D5">
        <v>87.95</v>
      </c>
      <c r="E5">
        <f t="shared" si="0"/>
        <v>26560.9</v>
      </c>
      <c r="F5">
        <f t="shared" si="1"/>
        <v>-6.4361702127659539</v>
      </c>
      <c r="G5" t="str">
        <f t="shared" si="2"/>
        <v>NORMAL</v>
      </c>
    </row>
    <row r="6" spans="1:7" x14ac:dyDescent="0.3">
      <c r="A6" t="s">
        <v>11</v>
      </c>
      <c r="B6">
        <v>366</v>
      </c>
      <c r="C6">
        <v>127</v>
      </c>
      <c r="D6">
        <v>136.30000000000001</v>
      </c>
      <c r="E6">
        <f t="shared" si="0"/>
        <v>49885.8</v>
      </c>
      <c r="F6">
        <f t="shared" si="1"/>
        <v>7.3228346456693005</v>
      </c>
      <c r="G6" t="str">
        <f t="shared" si="2"/>
        <v>ATENÇÃO</v>
      </c>
    </row>
    <row r="7" spans="1:7" x14ac:dyDescent="0.3">
      <c r="A7" t="s">
        <v>12</v>
      </c>
      <c r="B7">
        <v>380</v>
      </c>
      <c r="C7">
        <v>45</v>
      </c>
      <c r="D7">
        <v>64.77</v>
      </c>
      <c r="E7">
        <f t="shared" si="0"/>
        <v>24612.6</v>
      </c>
      <c r="F7">
        <f t="shared" si="1"/>
        <v>43.933333333333323</v>
      </c>
      <c r="G7" t="str">
        <f t="shared" si="2"/>
        <v>CRÍTICO</v>
      </c>
    </row>
    <row r="8" spans="1:7" x14ac:dyDescent="0.3">
      <c r="A8" t="s">
        <v>13</v>
      </c>
      <c r="B8">
        <v>363</v>
      </c>
      <c r="C8">
        <v>124</v>
      </c>
      <c r="D8">
        <v>172.73</v>
      </c>
      <c r="E8">
        <f t="shared" si="0"/>
        <v>62700.99</v>
      </c>
      <c r="F8">
        <f t="shared" si="1"/>
        <v>39.298387096774185</v>
      </c>
      <c r="G8" t="str">
        <f t="shared" si="2"/>
        <v>CRÍTICO</v>
      </c>
    </row>
    <row r="9" spans="1:7" x14ac:dyDescent="0.3">
      <c r="A9" t="s">
        <v>14</v>
      </c>
      <c r="B9">
        <v>340</v>
      </c>
      <c r="C9">
        <v>47</v>
      </c>
      <c r="D9">
        <v>66.87</v>
      </c>
      <c r="E9">
        <f t="shared" si="0"/>
        <v>22735.800000000003</v>
      </c>
      <c r="F9">
        <f t="shared" si="1"/>
        <v>42.276595744680861</v>
      </c>
      <c r="G9" t="str">
        <f t="shared" si="2"/>
        <v>CRÍTICO</v>
      </c>
    </row>
    <row r="25" spans="1:1" x14ac:dyDescent="0.3">
      <c r="A25" t="s">
        <v>15</v>
      </c>
    </row>
    <row r="26" spans="1:1" x14ac:dyDescent="0.3">
      <c r="A26" t="s">
        <v>16</v>
      </c>
    </row>
    <row r="27" spans="1:1" x14ac:dyDescent="0.3">
      <c r="A27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F8" sqref="F8"/>
    </sheetView>
  </sheetViews>
  <sheetFormatPr defaultRowHeight="14.4" x14ac:dyDescent="0.3"/>
  <cols>
    <col min="1" max="7" width="28" customWidth="1"/>
  </cols>
  <sheetData>
    <row r="1" spans="1:6" x14ac:dyDescent="0.3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6</v>
      </c>
    </row>
    <row r="2" spans="1:6" x14ac:dyDescent="0.3">
      <c r="A2" t="s">
        <v>23</v>
      </c>
      <c r="B2">
        <v>87</v>
      </c>
      <c r="C2">
        <v>433</v>
      </c>
      <c r="D2">
        <v>0.94</v>
      </c>
      <c r="E2">
        <f t="shared" ref="E2:E21" si="0">(SQRT(3)*B2*1000*C2*D2)/1000000</f>
        <v>61.333200813611541</v>
      </c>
      <c r="F2" t="str">
        <f t="shared" ref="F2:F21" si="1">IF(B2&gt;138,"RISCO ALTO","OPERANDO")</f>
        <v>OPERANDO</v>
      </c>
    </row>
    <row r="3" spans="1:6" x14ac:dyDescent="0.3">
      <c r="A3" t="s">
        <v>24</v>
      </c>
      <c r="B3">
        <v>217</v>
      </c>
      <c r="C3">
        <v>1013</v>
      </c>
      <c r="D3">
        <v>0.98</v>
      </c>
      <c r="E3">
        <f t="shared" si="0"/>
        <v>373.12631775918612</v>
      </c>
      <c r="F3" t="str">
        <f t="shared" si="1"/>
        <v>RISCO ALTO</v>
      </c>
    </row>
    <row r="4" spans="1:6" x14ac:dyDescent="0.3">
      <c r="A4" t="s">
        <v>25</v>
      </c>
      <c r="B4">
        <v>111</v>
      </c>
      <c r="C4">
        <v>827</v>
      </c>
      <c r="D4">
        <v>0.97</v>
      </c>
      <c r="E4">
        <f t="shared" si="0"/>
        <v>154.22715594292819</v>
      </c>
      <c r="F4" t="str">
        <f t="shared" si="1"/>
        <v>OPERANDO</v>
      </c>
    </row>
    <row r="5" spans="1:6" x14ac:dyDescent="0.3">
      <c r="A5" t="s">
        <v>26</v>
      </c>
      <c r="B5">
        <v>219</v>
      </c>
      <c r="C5">
        <v>119</v>
      </c>
      <c r="D5">
        <v>0.97</v>
      </c>
      <c r="E5">
        <f t="shared" si="0"/>
        <v>43.784806813170931</v>
      </c>
      <c r="F5" t="str">
        <f t="shared" si="1"/>
        <v>RISCO ALTO</v>
      </c>
    </row>
    <row r="6" spans="1:6" x14ac:dyDescent="0.3">
      <c r="A6" t="s">
        <v>27</v>
      </c>
      <c r="B6">
        <v>86</v>
      </c>
      <c r="C6">
        <v>1029</v>
      </c>
      <c r="D6">
        <v>0.85</v>
      </c>
      <c r="E6">
        <f t="shared" si="0"/>
        <v>130.28468854025016</v>
      </c>
      <c r="F6" t="str">
        <f t="shared" si="1"/>
        <v>OPERANDO</v>
      </c>
    </row>
    <row r="7" spans="1:6" x14ac:dyDescent="0.3">
      <c r="A7" t="s">
        <v>28</v>
      </c>
      <c r="B7">
        <v>122</v>
      </c>
      <c r="C7">
        <v>1023</v>
      </c>
      <c r="D7">
        <v>0.77</v>
      </c>
      <c r="E7">
        <f t="shared" si="0"/>
        <v>166.45115647886979</v>
      </c>
      <c r="F7" t="str">
        <f t="shared" si="1"/>
        <v>OPERANDO</v>
      </c>
    </row>
    <row r="8" spans="1:6" x14ac:dyDescent="0.3">
      <c r="E8">
        <f t="shared" si="0"/>
        <v>0</v>
      </c>
      <c r="F8" t="str">
        <f t="shared" si="1"/>
        <v>OPERANDO</v>
      </c>
    </row>
    <row r="9" spans="1:6" x14ac:dyDescent="0.3">
      <c r="E9">
        <f t="shared" si="0"/>
        <v>0</v>
      </c>
      <c r="F9" t="str">
        <f t="shared" si="1"/>
        <v>OPERANDO</v>
      </c>
    </row>
    <row r="10" spans="1:6" x14ac:dyDescent="0.3">
      <c r="E10">
        <f t="shared" si="0"/>
        <v>0</v>
      </c>
      <c r="F10" t="str">
        <f t="shared" si="1"/>
        <v>OPERANDO</v>
      </c>
    </row>
    <row r="11" spans="1:6" x14ac:dyDescent="0.3">
      <c r="E11">
        <f t="shared" si="0"/>
        <v>0</v>
      </c>
      <c r="F11" t="str">
        <f t="shared" si="1"/>
        <v>OPERANDO</v>
      </c>
    </row>
    <row r="12" spans="1:6" x14ac:dyDescent="0.3">
      <c r="E12">
        <f t="shared" si="0"/>
        <v>0</v>
      </c>
      <c r="F12" t="str">
        <f t="shared" si="1"/>
        <v>OPERANDO</v>
      </c>
    </row>
    <row r="13" spans="1:6" x14ac:dyDescent="0.3">
      <c r="E13">
        <f t="shared" si="0"/>
        <v>0</v>
      </c>
      <c r="F13" t="str">
        <f t="shared" si="1"/>
        <v>OPERANDO</v>
      </c>
    </row>
    <row r="14" spans="1:6" x14ac:dyDescent="0.3">
      <c r="E14">
        <f t="shared" si="0"/>
        <v>0</v>
      </c>
      <c r="F14" t="str">
        <f t="shared" si="1"/>
        <v>OPERANDO</v>
      </c>
    </row>
    <row r="15" spans="1:6" x14ac:dyDescent="0.3">
      <c r="E15">
        <f t="shared" si="0"/>
        <v>0</v>
      </c>
      <c r="F15" t="str">
        <f t="shared" si="1"/>
        <v>OPERANDO</v>
      </c>
    </row>
    <row r="16" spans="1:6" x14ac:dyDescent="0.3">
      <c r="E16">
        <f t="shared" si="0"/>
        <v>0</v>
      </c>
      <c r="F16" t="str">
        <f t="shared" si="1"/>
        <v>OPERANDO</v>
      </c>
    </row>
    <row r="17" spans="1:6" x14ac:dyDescent="0.3">
      <c r="E17">
        <f t="shared" si="0"/>
        <v>0</v>
      </c>
      <c r="F17" t="str">
        <f t="shared" si="1"/>
        <v>OPERANDO</v>
      </c>
    </row>
    <row r="18" spans="1:6" x14ac:dyDescent="0.3">
      <c r="E18">
        <f t="shared" si="0"/>
        <v>0</v>
      </c>
      <c r="F18" t="str">
        <f t="shared" si="1"/>
        <v>OPERANDO</v>
      </c>
    </row>
    <row r="19" spans="1:6" x14ac:dyDescent="0.3">
      <c r="E19">
        <f t="shared" si="0"/>
        <v>0</v>
      </c>
      <c r="F19" t="str">
        <f t="shared" si="1"/>
        <v>OPERANDO</v>
      </c>
    </row>
    <row r="20" spans="1:6" x14ac:dyDescent="0.3">
      <c r="E20">
        <f t="shared" si="0"/>
        <v>0</v>
      </c>
      <c r="F20" t="str">
        <f t="shared" si="1"/>
        <v>OPERANDO</v>
      </c>
    </row>
    <row r="21" spans="1:6" x14ac:dyDescent="0.3">
      <c r="E21">
        <f t="shared" si="0"/>
        <v>0</v>
      </c>
      <c r="F21" t="str">
        <f t="shared" si="1"/>
        <v>OPERANDO</v>
      </c>
    </row>
    <row r="25" spans="1:6" x14ac:dyDescent="0.3">
      <c r="A25" t="s">
        <v>29</v>
      </c>
    </row>
    <row r="26" spans="1:6" x14ac:dyDescent="0.3">
      <c r="A26" t="s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6"/>
  <sheetViews>
    <sheetView workbookViewId="0">
      <selection activeCell="D20" sqref="D20"/>
    </sheetView>
  </sheetViews>
  <sheetFormatPr defaultRowHeight="14.4" x14ac:dyDescent="0.3"/>
  <cols>
    <col min="1" max="7" width="28" customWidth="1"/>
  </cols>
  <sheetData>
    <row r="1" spans="1:5" x14ac:dyDescent="0.3">
      <c r="A1" s="3" t="s">
        <v>31</v>
      </c>
      <c r="B1" s="3" t="s">
        <v>32</v>
      </c>
      <c r="C1" s="3" t="s">
        <v>3</v>
      </c>
      <c r="D1" s="3" t="s">
        <v>33</v>
      </c>
      <c r="E1" s="3" t="s">
        <v>34</v>
      </c>
    </row>
    <row r="2" spans="1:5" x14ac:dyDescent="0.3">
      <c r="A2" t="s">
        <v>35</v>
      </c>
      <c r="B2">
        <v>24</v>
      </c>
      <c r="C2">
        <v>25.15</v>
      </c>
      <c r="D2">
        <f t="shared" ref="D2:D7" si="0">((C2-B2)/B2)*100</f>
        <v>4.7916666666666607</v>
      </c>
      <c r="E2" t="str">
        <f t="shared" ref="E2:E7" si="1">IF(ABS(D2)&gt;30,"INVESTIGAR IMEDIATAMENTE",IF(ABS(D2)&gt;10,"FORA DO PADRÃO","NORMAL"))</f>
        <v>NORMAL</v>
      </c>
    </row>
    <row r="3" spans="1:5" x14ac:dyDescent="0.3">
      <c r="A3" t="s">
        <v>36</v>
      </c>
      <c r="B3">
        <v>97</v>
      </c>
      <c r="C3">
        <v>123.89</v>
      </c>
      <c r="D3">
        <f t="shared" si="0"/>
        <v>27.72164948453608</v>
      </c>
      <c r="E3" t="str">
        <f t="shared" si="1"/>
        <v>FORA DO PADRÃO</v>
      </c>
    </row>
    <row r="4" spans="1:5" x14ac:dyDescent="0.3">
      <c r="A4" t="s">
        <v>37</v>
      </c>
      <c r="B4">
        <v>13</v>
      </c>
      <c r="C4">
        <v>15.48</v>
      </c>
      <c r="D4">
        <f t="shared" si="0"/>
        <v>19.07692307692308</v>
      </c>
      <c r="E4" t="str">
        <f t="shared" si="1"/>
        <v>FORA DO PADRÃO</v>
      </c>
    </row>
    <row r="5" spans="1:5" x14ac:dyDescent="0.3">
      <c r="A5" t="s">
        <v>38</v>
      </c>
      <c r="B5">
        <v>53</v>
      </c>
      <c r="C5">
        <v>40.04</v>
      </c>
      <c r="D5">
        <f t="shared" si="0"/>
        <v>-24.452830188679247</v>
      </c>
      <c r="E5" t="str">
        <f t="shared" si="1"/>
        <v>FORA DO PADRÃO</v>
      </c>
    </row>
    <row r="6" spans="1:5" x14ac:dyDescent="0.3">
      <c r="A6" t="s">
        <v>39</v>
      </c>
      <c r="B6">
        <v>26</v>
      </c>
      <c r="C6">
        <v>15.65</v>
      </c>
      <c r="D6">
        <f t="shared" si="0"/>
        <v>-39.807692307692307</v>
      </c>
      <c r="E6" t="str">
        <f t="shared" si="1"/>
        <v>INVESTIGAR IMEDIATAMENTE</v>
      </c>
    </row>
    <row r="7" spans="1:5" x14ac:dyDescent="0.3">
      <c r="A7" t="s">
        <v>40</v>
      </c>
      <c r="B7">
        <v>68</v>
      </c>
      <c r="C7">
        <v>106.62</v>
      </c>
      <c r="D7">
        <f t="shared" si="0"/>
        <v>56.794117647058826</v>
      </c>
      <c r="E7" t="str">
        <f t="shared" si="1"/>
        <v>INVESTIGAR IMEDIATAMENTE</v>
      </c>
    </row>
    <row r="8" spans="1:5" x14ac:dyDescent="0.3">
      <c r="D8" s="4"/>
    </row>
    <row r="14" spans="1:5" x14ac:dyDescent="0.3">
      <c r="D14" s="4"/>
    </row>
    <row r="20" spans="1:4" x14ac:dyDescent="0.3">
      <c r="D20" s="4"/>
    </row>
    <row r="25" spans="1:4" x14ac:dyDescent="0.3">
      <c r="A25" t="s">
        <v>41</v>
      </c>
    </row>
    <row r="26" spans="1:4" x14ac:dyDescent="0.3">
      <c r="A26" t="s">
        <v>42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AB5B0B-D2E3-4FD1-B035-75CD5B27C9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Sobrecarga</vt:lpstr>
      <vt:lpstr>Alta Tensao</vt:lpstr>
      <vt:lpstr>Corrente Anormal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Brum</cp:lastModifiedBy>
  <dcterms:created xsi:type="dcterms:W3CDTF">2026-05-14T17:21:31Z</dcterms:created>
  <dcterms:modified xsi:type="dcterms:W3CDTF">2026-05-15T03:05:15Z</dcterms:modified>
</cp:coreProperties>
</file>